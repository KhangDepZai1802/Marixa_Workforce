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Project\M-BE\Marixa-ChamCong\docs\modules\attendance\"/>
    </mc:Choice>
  </mc:AlternateContent>
  <bookViews>
    <workbookView xWindow="0" yWindow="0" windowWidth="20490" windowHeight="7200" activeTab="1"/>
  </bookViews>
  <sheets>
    <sheet name="Bắt đầu" sheetId="1" r:id="rId1"/>
    <sheet name="Công việc" sheetId="2" r:id="rId2"/>
  </sheets>
  <calcPr calcId="162913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<sst xmlns="http://schemas.openxmlformats.org/spreadsheetml/2006/main" count="254" uniqueCount="163">
  <si>
    <t>BẢNG THEO DÕI HOÀN THIỆN ỨNG DỤNG CHẤM CÔNG</t>
  </si>
  <si>
    <t>Cách dùng: cập nhật cột “Trạng thái công việc” ở sheet Công việc. Mỗi dòng là một hạng mục có thể giao cho AI/người thực hiện.</t>
  </si>
  <si>
    <t>Tổng hạng mục</t>
  </si>
  <si>
    <t>Trạng thái có nghĩa là</t>
  </si>
  <si>
    <t>Chưa rà soát</t>
  </si>
  <si>
    <t>Chưa kiểm tra chức năng hoặc chưa đủ bằng chứng.</t>
  </si>
  <si>
    <t>Cần xử lý / chưa làm</t>
  </si>
  <si>
    <t>Cần xử lý</t>
  </si>
  <si>
    <t>Đã có chức năng nhưng thiếu/sai; cần sửa theo cột đề xuất.</t>
  </si>
  <si>
    <t>Chờ xác nhận</t>
  </si>
  <si>
    <t>Cần bạn chốt quy tắc nghiệp vụ trước khi làm.</t>
  </si>
  <si>
    <t>Đang làm</t>
  </si>
  <si>
    <t>Đang được giao cho người hoặc AI xử lý.</t>
  </si>
  <si>
    <t>Xong</t>
  </si>
  <si>
    <t>Đã hoàn thành và được bạn xác nhận.</t>
  </si>
  <si>
    <t>Nguồn khởi tạo: báo cáo rà soát Chấm công ngày 08/10/2026 và danh sách route/trang hiện có. Các module chưa rà soát được ghi rõ, không mặc định là đã xong.</t>
  </si>
  <si>
    <t>Trang / module</t>
  </si>
  <si>
    <t>Nhóm chức năng</t>
  </si>
  <si>
    <t>Hạng mục</t>
  </si>
  <si>
    <t>Đã có / hiện trạng</t>
  </si>
  <si>
    <t>Còn thiếu / đề xuất</t>
  </si>
  <si>
    <t>Ưu tiên</t>
  </si>
  <si>
    <t>Trạng thái rà soát</t>
  </si>
  <si>
    <t>Trạng thái công việc</t>
  </si>
  <si>
    <t>Gợi ý giao việc cho AI</t>
  </si>
  <si>
    <t>HR</t>
  </si>
  <si>
    <t>Nhân viên</t>
  </si>
  <si>
    <t>Danh sách nhân viên</t>
  </si>
  <si>
    <t>Có trang HR và luồng danh sách; chi tiết chức năng cần rà soát theo source hiện tại.</t>
  </si>
  <si>
    <t>Xác nhận cột, tìm kiếm/lọc, phân trang, hồ sơ và quyền xem.</t>
  </si>
  <si>
    <t>Cao</t>
  </si>
  <si>
    <t>Rà soát trang HR, đối chiếu API và quyền; ghi rõ chức năng hoạt động và lỗi còn lại.</t>
  </si>
  <si>
    <t>Thêm / sửa hồ sơ</t>
  </si>
  <si>
    <t>Chưa xác định đủ trong tài liệu đã đọc.</t>
  </si>
  <si>
    <t>Kiểm tra trường hồ sơ, hợp đồng/lương/bảo hiểm liên quan; kiểm tra lưu và validation.</t>
  </si>
  <si>
    <t>Kiểm tra end-to-end form thêm/sửa và payload API; liệt kê field thiếu hoặc không lưu.</t>
  </si>
  <si>
    <t>Lưu trữ / khôi phục nhân viên</t>
  </si>
  <si>
    <t>Rà soát thao tác lưu trữ, màn danh sách đã nghỉ và khôi phục; bảo đảm không xóa nhầm dữ liệu.</t>
  </si>
  <si>
    <t>Trung bình</t>
  </si>
  <si>
    <t>Kiểm tra luồng lưu trữ/khôi phục và quyền tương ứng.</t>
  </si>
  <si>
    <t>Bộ lọc và tìm kiếm</t>
  </si>
  <si>
    <t>Kiểm tra tìm theo tên/mã, trạng thái và các bộ lọc nhanh; xác nhận kết quả kết hợp đúng.</t>
  </si>
  <si>
    <t>Rà soát tìm kiếm và filter HR; đề xuất thiếu sót có bằng chứng.</t>
  </si>
  <si>
    <t>Duyệt công</t>
  </si>
  <si>
    <t>Lịch sử và duyệt công nhân viên</t>
  </si>
  <si>
    <t>Có giao diện xem, tạo, sửa, duyệt/từ chối công. Hai trang quản lý đang dùng các luồng/payload khác nhau.</t>
  </si>
  <si>
    <t>Thống nhất hành động và validation; Manager chỉ xử lý người phụ trách; actor duyệt phải lấy từ tài khoản.</t>
  </si>
  <si>
    <t>Đã có - cần cải thiện</t>
  </si>
  <si>
    <t>Ưu tiên phân quyền Manager và thống nhất duyệt/sửa qua cùng quy tắc.</t>
  </si>
  <si>
    <t>Thống kê</t>
  </si>
  <si>
    <t>Thống kê công nhân viên</t>
  </si>
  <si>
    <t>Có trang thống kê công.</t>
  </si>
  <si>
    <t>Tính giờ và trạng thái khác màn nhân viên; lỗi API có thể hiển thị như số 0.</t>
  </si>
  <si>
    <t>Thống nhất công thức với nhân viên; phân biệt dữ liệu rỗng và lỗi tải.</t>
  </si>
  <si>
    <t>Nghỉ phép</t>
  </si>
  <si>
    <t>Danh sách và duyệt đơn nghỉ</t>
  </si>
  <si>
    <t>Có luồng đơn nghỉ và xử lý trạng thái. Chưa nối kết quả nghỉ đã duyệt với ngày công.</t>
  </si>
  <si>
    <t>Chốt quy tắc đơn nghỉ bị từ chối/hủy, quota theo kỳ, nghỉ nửa ngày và xung đột với đi làm.</t>
  </si>
  <si>
    <t>Xác nhận chính sách phép trước khi nối đơn nghỉ vào kết quả công.</t>
  </si>
  <si>
    <t>Chấm công / attendance</t>
  </si>
  <si>
    <t>Tự chấm công</t>
  </si>
  <si>
    <t>Chấm vào/ra và chụp ảnh</t>
  </si>
  <si>
    <t>Có camera, tải ảnh và ghi nhận vào/ra.</t>
  </si>
  <si>
    <t>Ngày trước 07:00 có thể lệch; lần chấm mới có thể chưa tính ngay; kiểm soát thứ tự/trùng chưa đủ; ảnh bắt buộc chưa được server thực thi.</t>
  </si>
  <si>
    <t>Sửa xác định ngày VN, tính log mới nhất quán và chốt quy tắc chống chấm trùng/thứ tự.</t>
  </si>
  <si>
    <t>Tính giờ</t>
  </si>
  <si>
    <t>Giờ làm chuẩn và nghỉ trưa</t>
  </si>
  <si>
    <t>Lịch chuẩn 08:00–12:00, 13:00–17:00 đã xác nhận là 8 giờ làm.</t>
  </si>
  <si>
    <t>Một số thống kê tính 9 giờ và 1 giờ tăng ca do chưa trừ nghỉ trưa; đồng bộ công thức giữa các màn.</t>
  </si>
  <si>
    <t>Chuẩn hóa giờ làm net 8h; không tính nghỉ trưa là OT; thống nhất kết quả các trang.</t>
  </si>
  <si>
    <t>Tăng ca</t>
  </si>
  <si>
    <t>Tính và phân loại tăng ca</t>
  </si>
  <si>
    <t>Có trường/cách tổng hợp giờ tăng ca ở thống kê.</t>
  </si>
  <si>
    <t>Chưa thống nhất OT theo lịch, ngày lễ/làm bù; chưa xác nhận OT theo hiện diện hay cần phê duyệt riêng.</t>
  </si>
  <si>
    <t>Chờ xác nhận nghiệp vụ</t>
  </si>
  <si>
    <t>Hỏi owner chính sách OT, sau đó thống nhất công thức và nghiệm thu ngày thường/cuối tuần/ngày lễ.</t>
  </si>
  <si>
    <t>Duyệt, từ chối và khóa công</t>
  </si>
  <si>
    <t>Có thao tác duyệt/từ chối; update trực tiếp chặn sửa khi trạng thái hiện đã duyệt.</t>
  </si>
  <si>
    <t>Một số đường khác vẫn có thể sửa log, đổi trạng thái hoặc xóa; thiếu lịch sử thay đổi đầy đủ.</t>
  </si>
  <si>
    <t>Thiết kế một quy tắc khóa và điều chỉnh sau duyệt, có actor/lý do/trước-sau.</t>
  </si>
  <si>
    <t>Phân quyền</t>
  </si>
  <si>
    <t>Phạm vi nhân viên và người duyệt</t>
  </si>
  <si>
    <t>Có phân quyền vai trò ở một số API.</t>
  </si>
  <si>
    <t>API chưa luôn kiểm tra quyền sở hữu; Manager chưa bị giới hạn theo nhân viên phụ trách; actor duyệt nhận từ request.</t>
  </si>
  <si>
    <t>Bổ sung kiểm tra ở backend cho mọi đường đọc/ghi/duyệt; lấy actor từ phiên đăng nhập.</t>
  </si>
  <si>
    <t>Nhật ký chấm</t>
  </si>
  <si>
    <t>Log, ảnh và chỉnh sửa log</t>
  </si>
  <si>
    <t>Có lưu từng lần chấm và API quản lý log.</t>
  </si>
  <si>
    <t>Log đã xóa mềm vẫn có thể ảnh hưởng giờ đọc lại; chỉnh log chưa bị khóa đồng bộ với công đã duyệt.</t>
  </si>
  <si>
    <t>Dùng cùng tập log hợp lệ khi tính và đọc; áp dụng chính sách khóa theo trạng thái công.</t>
  </si>
  <si>
    <t>Lịch sử &amp; xuất</t>
  </si>
  <si>
    <t>Lọc ngày/tháng, phân trang và CSV</t>
  </si>
  <si>
    <t>Có màn lịch sử, bộ lọc và xuất dữ liệu.</t>
  </si>
  <si>
    <t>Có giới hạn số bản ghi/trang đầu; danh sách, kỳ lọc, thống kê và export có thể lệch nhau.</t>
  </si>
  <si>
    <t>Đọc đủ trang theo kỳ; dùng chung filter/scope cho bảng và file xuất.</t>
  </si>
  <si>
    <t>Tạo công thủ công</t>
  </si>
  <si>
    <t>Thêm công khi quên/sai chấm</t>
  </si>
  <si>
    <t>Có form tạo/sửa công cho người quản lý.</t>
  </si>
  <si>
    <t>Một số trường trên form không được gửi/lưu lúc tạo; luồng nhân viên báo lỗi và gửi lại công chưa đầy đủ.</t>
  </si>
  <si>
    <t>Đối chiếu form-DTO-API; thiết kế luồng yêu cầu sửa công và phản hồi cho nhân viên.</t>
  </si>
  <si>
    <t>Lịch làm</t>
  </si>
  <si>
    <t>Ca và phân công</t>
  </si>
  <si>
    <t>Xem ca được phân công</t>
  </si>
  <si>
    <t>Có dữ liệu ca, ngày làm và phân công; nhân viên xem lịch làm.</t>
  </si>
  <si>
    <t>Chấm công nhanh chưa áp dụng ca được gán; ngày lễ/làm bù chưa chi phối đồng nhất.</t>
  </si>
  <si>
    <t>Nối lịch ca vào tính công sau khi chốt quy tắc hiện hành; không mở rộng ca đêm nếu chưa cần.</t>
  </si>
  <si>
    <t>Quy tắc chấm công</t>
  </si>
  <si>
    <t>Cấu hình</t>
  </si>
  <si>
    <t>Dung sai, nghỉ giữa ca, GPS, ảnh</t>
  </si>
  <si>
    <t>Có cấu hình/dữ liệu cho một số quy tắc.</t>
  </si>
  <si>
    <t>Nhiều cấu hình chưa được thực thi trong luồng chấm; chưa rõ cái nào là yêu cầu thật.</t>
  </si>
  <si>
    <t>Xác nhận chính sách cần dùng; chỉ sau đó mới nối cấu hình vào tính/validation.</t>
  </si>
  <si>
    <t>Ngày lễ</t>
  </si>
  <si>
    <t>Lịch lễ và làm bù</t>
  </si>
  <si>
    <t>Khai báo và áp dụng ngày đặc biệt</t>
  </si>
  <si>
    <t>Có dữ liệu ngày lễ/làm bù và một phần thống kê sử dụng.</t>
  </si>
  <si>
    <t>Lịch ca, chấm công và thống kê chưa nhất quán; phân loại OT lễ/làm bù có sai khác.</t>
  </si>
  <si>
    <t>Chuẩn hóa tác động của lễ/làm bù lên lịch, công và báo cáo.</t>
  </si>
  <si>
    <t>Bảng lương</t>
  </si>
  <si>
    <t>Payroll</t>
  </si>
  <si>
    <t>Tạo bảng lương theo tháng</t>
  </si>
  <si>
    <t>Có API/module nhập khoản lương và tạo bảng lương.</t>
  </si>
  <si>
    <t>Chưa lấy tự động công đã duyệt; chưa có hợp đồng chốt kỳ công. Tích hợp phụ thuộc quyết định nghiệp vụ.</t>
  </si>
  <si>
    <t>Thấp / có điều kiện</t>
  </si>
  <si>
    <t>Đã có - thiếu liên kết</t>
  </si>
  <si>
    <t>Xác nhận có dùng công làm đầu vào lương không; nếu có, thiết kế bàn giao kỳ đã chốt.</t>
  </si>
  <si>
    <t>Tài khoản</t>
  </si>
  <si>
    <t>Cấp tài khoản</t>
  </si>
  <si>
    <t>Cấp/kích hoạt tài khoản nhân viên</t>
  </si>
  <si>
    <t>Có trang cấp tài khoản ở các khu vực admin/employee.</t>
  </si>
  <si>
    <t>Chưa rà soát quy trình, phân quyền, lỗi và liên kết hồ sơ nhân viên.</t>
  </si>
  <si>
    <t>Rà soát tạo/cấp/kích hoạt/thu hồi tài khoản và quyền.</t>
  </si>
  <si>
    <t>Vai trò &amp; quyền</t>
  </si>
  <si>
    <t>Quản lý quyền</t>
  </si>
  <si>
    <t>Vai trò và quyền truy cập</t>
  </si>
  <si>
    <t>Có trang quản lý vai trò.</t>
  </si>
  <si>
    <t>Chưa rà soát tính nhất quán giữa UI, route guard và authorization API.</t>
  </si>
  <si>
    <t>Kiểm tra vai trò từ UI đến API và thử truy cập ngoài phạm vi.</t>
  </si>
  <si>
    <t>Hợp đồng</t>
  </si>
  <si>
    <t>Quản lý hợp đồng</t>
  </si>
  <si>
    <t>Danh sách/thông tin hợp đồng</t>
  </si>
  <si>
    <t>Có trang quản lý hợp đồng.</t>
  </si>
  <si>
    <t>Chưa rà soát nghiệp vụ, nhắc hết hạn, cập nhật liên kết hồ sơ.</t>
  </si>
  <si>
    <t>Rà soát hợp đồng, thời hạn và liên kết dữ liệu nhân viên.</t>
  </si>
  <si>
    <t>Báo cáo</t>
  </si>
  <si>
    <t>Báo cáo HR</t>
  </si>
  <si>
    <t>Báo cáo nhân sự</t>
  </si>
  <si>
    <t>Có trang báo cáo HR.</t>
  </si>
  <si>
    <t>Chưa rà soát nguồn dữ liệu, bộ lọc, export và quyền.</t>
  </si>
  <si>
    <t>Kiểm tra định nghĩa chỉ số và đối chiếu kết quả với danh sách gốc.</t>
  </si>
  <si>
    <t>Lương &amp; bảo hiểm</t>
  </si>
  <si>
    <t>Trang lương/bảo hiểm</t>
  </si>
  <si>
    <t>Thông tin lương và bảo hiểm</t>
  </si>
  <si>
    <t>Có module lương và bảo hiểm.</t>
  </si>
  <si>
    <t>Chưa rà soát độ đầy đủ, quyền xem dữ liệu nhạy cảm và liên kết hồ sơ.</t>
  </si>
  <si>
    <t>Rà soát quyền dữ liệu nhạy cảm và các luồng cập nhật/đối chiếu.</t>
  </si>
  <si>
    <t>Khác</t>
  </si>
  <si>
    <t>Bàn giao / công việc</t>
  </si>
  <si>
    <t>Bàn giao và công việc</t>
  </si>
  <si>
    <t>Có trang bàn giao và trang công việc.</t>
  </si>
  <si>
    <t>Chưa rà soát quy trình và tiêu chí hoàn thành.</t>
  </si>
  <si>
    <t>Thấp</t>
  </si>
  <si>
    <t>Xác định actor/luồng chính rồi rà soát nghiệp vụ và trạng thái.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</si>
</sst>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rlito"/>
    </font>
    <font>
      <b/>
      <sz val="16"/>
      <color rgb="FF17365D"/>
      <name val="Aptos Display"/>
    </font>
    <font>
      <sz val="11"/>
      <color rgb="FF404040"/>
      <name val="Aptos"/>
    </font>
    <font>
      <sz val="11"/>
      <color rgb="FF263238"/>
      <name val="Aptos"/>
    </font>
    <font>
      <b/>
      <sz val="11"/>
      <color rgb="FF17365D"/>
      <name val="Aptos"/>
    </font>
    <font>
      <b/>
      <sz val="11"/>
      <color rgb="FFFFFFFF"/>
      <name val="Carlito"/>
    </font>
    <font>
      <sz val="10"/>
      <color rgb="FF404040"/>
      <name val="Aptos"/>
    </font>
    <font>
      <i/>
      <sz val="10"/>
      <color rgb="FF666666"/>
      <name val="Carlito"/>
    </font>
    <font>
      <sz val="10"/>
      <color rgb="FF263238"/>
      <name val="Aptos"/>
    </font>
    <font>
      <b/>
      <sz val="10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vertical="center" wrapText="1"/>
    </xf>
    <xf numFmtId="0" fontId="8" fillId="0" borderId="3" xfId="0" applyNumberFormat="1" applyFont="1" applyFill="1" applyBorder="1" applyAlignment="1">
      <alignment vertical="center" wrapText="1"/>
    </xf>
    <xf numFmtId="0" fontId="8" fillId="0" borderId="4" xfId="0" applyNumberFormat="1" applyFont="1" applyFill="1" applyBorder="1" applyAlignment="1">
      <alignment vertical="center" wrapText="1"/>
    </xf>
    <xf numFmtId="0" fontId="8" fillId="4" borderId="2" xfId="0" applyNumberFormat="1" applyFont="1" applyFill="1" applyBorder="1" applyAlignment="1">
      <alignment vertical="center" wrapText="1"/>
    </xf>
    <xf numFmtId="0" fontId="8" fillId="4" borderId="3" xfId="0" applyNumberFormat="1" applyFont="1" applyFill="1" applyBorder="1" applyAlignment="1">
      <alignment vertical="center" wrapText="1"/>
    </xf>
    <xf numFmtId="0" fontId="8" fillId="4" borderId="4" xfId="0" applyNumberFormat="1" applyFont="1" applyFill="1" applyBorder="1" applyAlignment="1">
      <alignment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kTracker" displayName="WorkTracker" ref="A1:I26" totalsRowShown="0">
  <tableColumns count="9">
    <tableColumn id="1" name="Trang / module"/>
    <tableColumn id="2" name="Nhóm chức năng"/>
    <tableColumn id="3" name="Hạng mục"/>
    <tableColumn id="4" name="Đã có / hiện trạng"/>
    <tableColumn id="5" name="Còn thiếu / đề xuất"/>
    <tableColumn id="6" name="Ưu tiên"/>
    <tableColumn id="7" name="Trạng thái rà soát"/>
    <tableColumn id="8" name="Trạng thái công việc"/>
    <tableColumn id="9" name="Gợi ý giao việc cho 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F12"/>
  <sheetViews>
    <sheetView showGridLines="0" workbookViewId="0">
      <selection sqref="A1:F1"/>
    </sheetView>
  </sheetViews>
  <sheetFormatPr defaultRowHeight="14.25"/>
  <cols>
    <col min="1" max="1" width="27" customWidth="1"/>
    <col min="2" max="2" width="14" customWidth="1"/>
    <col min="3" max="3" width="4" customWidth="1"/>
    <col min="4" max="4" width="20" customWidth="1"/>
    <col min="5" max="5" width="48" customWidth="1"/>
    <col min="6" max="6" width="4" customWidth="1"/>
  </cols>
  <sheetData>
    <row r="1" spans="1:6" ht="32.1" customHeight="1">
      <c r="A1" s="14" t="s">
        <v>0</v>
      </c>
      <c r="B1" s="14"/>
      <c r="C1" s="14"/>
      <c r="D1" s="14"/>
      <c r="E1" s="14"/>
      <c r="F1" s="14"/>
    </row>
    <row r="3" spans="1:6" ht="32.1" customHeight="1">
      <c r="A3" s="15" t="s">
        <v>1</v>
      </c>
      <c r="B3" s="15"/>
      <c r="C3" s="15"/>
      <c r="D3" s="15"/>
      <c r="E3" s="15"/>
      <c r="F3" s="15"/>
    </row>
    <row r="5" spans="1:6" ht="15">
      <c r="A5" s="1" t="s">
        <v>2</v>
      </c>
      <c r="B5" s="2">
        <f>COUNTA('Công việc'!A2:A26)</f>
        <v>25</v>
      </c>
      <c r="D5" s="16" t="s">
        <v>3</v>
      </c>
      <c r="E5" s="16"/>
      <c r="F5" s="16"/>
    </row>
    <row r="6" spans="1:6" ht="15">
      <c r="A6" s="1" t="s">
        <v>4</v>
      </c>
      <c r="B6" s="2">
        <f>COUNTIF('Công việc'!H2:H26,"Chưa rà soát")</f>
        <v>10</v>
      </c>
      <c r="D6" s="3" t="s">
        <v>4</v>
      </c>
      <c r="E6" s="3" t="s">
        <v>5</v>
      </c>
      <c r="F6" s="3"/>
    </row>
    <row r="7" spans="1:6" ht="15">
      <c r="A7" s="1" t="s">
        <v>6</v>
      </c>
      <c r="B7" s="2">
        <f>COUNTIF('Công việc'!H2:H26,"Cần xử lý")+COUNTIF('Công việc'!H2:H26,"Chưa làm")</f>
        <v>11</v>
      </c>
      <c r="D7" s="3" t="s">
        <v>7</v>
      </c>
      <c r="E7" s="3" t="s">
        <v>8</v>
      </c>
      <c r="F7" s="3"/>
    </row>
    <row r="8" spans="1:6" ht="15">
      <c r="A8" s="1" t="s">
        <v>9</v>
      </c>
      <c r="B8" s="2">
        <f>COUNTIF('Công việc'!H2:H26,"Chờ xác nhận")</f>
        <v>4</v>
      </c>
      <c r="D8" s="3" t="s">
        <v>9</v>
      </c>
      <c r="E8" s="3" t="s">
        <v>10</v>
      </c>
      <c r="F8" s="3"/>
    </row>
    <row r="9" spans="1:6" ht="15">
      <c r="A9" s="1" t="s">
        <v>11</v>
      </c>
      <c r="B9" s="2">
        <f>COUNTIF('Công việc'!H2:H26,"Đang làm")</f>
        <v>0</v>
      </c>
      <c r="D9" s="3" t="s">
        <v>11</v>
      </c>
      <c r="E9" s="3" t="s">
        <v>12</v>
      </c>
      <c r="F9" s="3"/>
    </row>
    <row r="10" spans="1:6" ht="15">
      <c r="A10" s="1" t="s">
        <v>13</v>
      </c>
      <c r="B10" s="2">
        <f>COUNTIF('Công việc'!H2:H26,"Xong")</f>
        <v>0</v>
      </c>
      <c r="D10" s="3" t="s">
        <v>13</v>
      </c>
      <c r="E10" s="3" t="s">
        <v>14</v>
      </c>
      <c r="F10" s="3"/>
    </row>
    <row r="12" spans="1:6" ht="33.950000000000003" customHeight="1">
      <c r="A12" s="17" t="s">
        <v>15</v>
      </c>
      <c r="B12" s="17"/>
      <c r="C12" s="17"/>
      <c r="D12" s="17"/>
      <c r="E12" s="17"/>
      <c r="F12" s="17"/>
    </row>
  </sheetData>
  <mergeCells count="4">
    <mergeCell ref="A1:F1"/>
    <mergeCell ref="A3:F3"/>
    <mergeCell ref="D5:F5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26"/>
  <sheetViews>
    <sheetView showGridLines="0" tabSelected="1" zoomScale="70" zoomScaleNormal="70" workbookViewId="0">
      <pane ySplit="1" topLeftCell="A8" activePane="bottomLeft" state="frozen"/>
      <selection pane="bottomLeft" activeCell="E20" sqref="E20"/>
    </sheetView>
  </sheetViews>
  <sheetFormatPr defaultRowHeight="14.25"/>
  <cols>
    <col min="1" max="1" width="23" customWidth="1"/>
    <col min="2" max="2" width="20" customWidth="1"/>
    <col min="3" max="3" width="30" customWidth="1"/>
    <col min="4" max="4" width="50" customWidth="1"/>
    <col min="5" max="5" width="54" customWidth="1"/>
    <col min="6" max="6" width="16" customWidth="1"/>
    <col min="7" max="7" width="25" customWidth="1"/>
    <col min="8" max="8" width="20" customWidth="1"/>
    <col min="9" max="9" width="58" customWidth="1"/>
  </cols>
  <sheetData>
    <row r="1" spans="1:9" ht="15" customHeigh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</row>
    <row r="2" spans="1:9" ht="24" customHeight="1">
      <c r="A2" s="8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11" t="s">
        <v>30</v>
      </c>
      <c r="G2" s="5" t="s">
        <v>4</v>
      </c>
      <c r="H2" s="5" t="s">
        <v>4</v>
      </c>
      <c r="I2" s="5" t="s">
        <v>31</v>
      </c>
    </row>
    <row r="3" spans="1:9" ht="24" customHeight="1">
      <c r="A3" s="9" t="s">
        <v>25</v>
      </c>
      <c r="B3" s="6" t="s">
        <v>26</v>
      </c>
      <c r="C3" s="6" t="s">
        <v>32</v>
      </c>
      <c r="D3" s="6" t="s">
        <v>33</v>
      </c>
      <c r="E3" s="6" t="s">
        <v>34</v>
      </c>
      <c r="F3" s="12" t="s">
        <v>30</v>
      </c>
      <c r="G3" s="6" t="s">
        <v>4</v>
      </c>
      <c r="H3" s="6" t="s">
        <v>4</v>
      </c>
      <c r="I3" s="6" t="s">
        <v>35</v>
      </c>
    </row>
    <row r="4" spans="1:9" ht="24" customHeight="1">
      <c r="A4" s="9" t="s">
        <v>25</v>
      </c>
      <c r="B4" s="6" t="s">
        <v>26</v>
      </c>
      <c r="C4" s="6" t="s">
        <v>36</v>
      </c>
      <c r="D4" s="6" t="s">
        <v>33</v>
      </c>
      <c r="E4" s="6" t="s">
        <v>37</v>
      </c>
      <c r="F4" s="12" t="s">
        <v>38</v>
      </c>
      <c r="G4" s="6" t="s">
        <v>4</v>
      </c>
      <c r="H4" s="6" t="s">
        <v>4</v>
      </c>
      <c r="I4" s="6" t="s">
        <v>39</v>
      </c>
    </row>
    <row r="5" spans="1:9" ht="24" customHeight="1">
      <c r="A5" s="9" t="s">
        <v>25</v>
      </c>
      <c r="B5" s="6" t="s">
        <v>26</v>
      </c>
      <c r="C5" s="6" t="s">
        <v>40</v>
      </c>
      <c r="D5" s="6" t="s">
        <v>33</v>
      </c>
      <c r="E5" s="6" t="s">
        <v>41</v>
      </c>
      <c r="F5" s="12" t="s">
        <v>38</v>
      </c>
      <c r="G5" s="6" t="s">
        <v>4</v>
      </c>
      <c r="H5" s="6" t="s">
        <v>4</v>
      </c>
      <c r="I5" s="6" t="s">
        <v>42</v>
      </c>
    </row>
    <row r="6" spans="1:9" ht="24" customHeight="1">
      <c r="A6" s="9" t="s">
        <v>25</v>
      </c>
      <c r="B6" s="6" t="s">
        <v>43</v>
      </c>
      <c r="C6" s="6" t="s">
        <v>44</v>
      </c>
      <c r="D6" s="6" t="s">
        <v>45</v>
      </c>
      <c r="E6" s="6" t="s">
        <v>46</v>
      </c>
      <c r="F6" s="12" t="s">
        <v>30</v>
      </c>
      <c r="G6" s="6" t="s">
        <v>47</v>
      </c>
      <c r="H6" s="6" t="s">
        <v>7</v>
      </c>
      <c r="I6" s="6" t="s">
        <v>48</v>
      </c>
    </row>
    <row r="7" spans="1:9" ht="15" customHeight="1">
      <c r="A7" s="9" t="s">
        <v>25</v>
      </c>
      <c r="B7" s="6" t="s">
        <v>49</v>
      </c>
      <c r="C7" s="6" t="s">
        <v>50</v>
      </c>
      <c r="D7" s="6" t="s">
        <v>51</v>
      </c>
      <c r="E7" s="6" t="s">
        <v>52</v>
      </c>
      <c r="F7" s="12" t="s">
        <v>30</v>
      </c>
      <c r="G7" s="6" t="s">
        <v>47</v>
      </c>
      <c r="H7" s="6" t="s">
        <v>7</v>
      </c>
      <c r="I7" s="6" t="s">
        <v>53</v>
      </c>
    </row>
    <row r="8" spans="1:9" ht="24" customHeight="1">
      <c r="A8" s="9" t="s">
        <v>25</v>
      </c>
      <c r="B8" s="6" t="s">
        <v>54</v>
      </c>
      <c r="C8" s="6" t="s">
        <v>55</v>
      </c>
      <c r="D8" s="6" t="s">
        <v>56</v>
      </c>
      <c r="E8" s="6" t="s">
        <v>57</v>
      </c>
      <c r="F8" s="12" t="s">
        <v>38</v>
      </c>
      <c r="G8" s="6" t="s">
        <v>47</v>
      </c>
      <c r="H8" s="6" t="s">
        <v>9</v>
      </c>
      <c r="I8" s="6" t="s">
        <v>58</v>
      </c>
    </row>
    <row r="9" spans="1:9" ht="24" customHeight="1">
      <c r="A9" s="9" t="s">
        <v>59</v>
      </c>
      <c r="B9" s="6" t="s">
        <v>60</v>
      </c>
      <c r="C9" s="6" t="s">
        <v>61</v>
      </c>
      <c r="D9" s="6" t="s">
        <v>62</v>
      </c>
      <c r="E9" s="6" t="s">
        <v>63</v>
      </c>
      <c r="F9" s="12" t="s">
        <v>30</v>
      </c>
      <c r="G9" s="6" t="s">
        <v>47</v>
      </c>
      <c r="H9" s="6" t="s">
        <v>7</v>
      </c>
      <c r="I9" s="6" t="s">
        <v>64</v>
      </c>
    </row>
    <row r="10" spans="1:9" ht="24" customHeight="1">
      <c r="A10" s="9" t="s">
        <v>59</v>
      </c>
      <c r="B10" s="6" t="s">
        <v>65</v>
      </c>
      <c r="C10" s="6" t="s">
        <v>66</v>
      </c>
      <c r="D10" s="6" t="s">
        <v>67</v>
      </c>
      <c r="E10" s="6" t="s">
        <v>68</v>
      </c>
      <c r="F10" s="12" t="s">
        <v>30</v>
      </c>
      <c r="G10" s="6" t="s">
        <v>47</v>
      </c>
      <c r="H10" s="6" t="s">
        <v>7</v>
      </c>
      <c r="I10" s="6" t="s">
        <v>69</v>
      </c>
    </row>
    <row r="11" spans="1:9" ht="24" customHeight="1">
      <c r="A11" s="9" t="s">
        <v>59</v>
      </c>
      <c r="B11" s="6" t="s">
        <v>70</v>
      </c>
      <c r="C11" s="6" t="s">
        <v>71</v>
      </c>
      <c r="D11" s="6" t="s">
        <v>72</v>
      </c>
      <c r="E11" s="6" t="s">
        <v>73</v>
      </c>
      <c r="F11" s="12" t="s">
        <v>30</v>
      </c>
      <c r="G11" s="6" t="s">
        <v>74</v>
      </c>
      <c r="H11" s="6" t="s">
        <v>9</v>
      </c>
      <c r="I11" s="6" t="s">
        <v>75</v>
      </c>
    </row>
    <row r="12" spans="1:9" ht="24" customHeight="1">
      <c r="A12" s="9" t="s">
        <v>59</v>
      </c>
      <c r="B12" s="6" t="s">
        <v>43</v>
      </c>
      <c r="C12" s="6" t="s">
        <v>76</v>
      </c>
      <c r="D12" s="6" t="s">
        <v>77</v>
      </c>
      <c r="E12" s="6" t="s">
        <v>78</v>
      </c>
      <c r="F12" s="12" t="s">
        <v>30</v>
      </c>
      <c r="G12" s="6" t="s">
        <v>47</v>
      </c>
      <c r="H12" s="6" t="s">
        <v>7</v>
      </c>
      <c r="I12" s="6" t="s">
        <v>79</v>
      </c>
    </row>
    <row r="13" spans="1:9" ht="24" customHeight="1">
      <c r="A13" s="9" t="s">
        <v>59</v>
      </c>
      <c r="B13" s="6" t="s">
        <v>80</v>
      </c>
      <c r="C13" s="6" t="s">
        <v>81</v>
      </c>
      <c r="D13" s="6" t="s">
        <v>82</v>
      </c>
      <c r="E13" s="6" t="s">
        <v>83</v>
      </c>
      <c r="F13" s="12" t="s">
        <v>30</v>
      </c>
      <c r="G13" s="6" t="s">
        <v>47</v>
      </c>
      <c r="H13" s="6" t="s">
        <v>7</v>
      </c>
      <c r="I13" s="6" t="s">
        <v>84</v>
      </c>
    </row>
    <row r="14" spans="1:9" ht="24" customHeight="1">
      <c r="A14" s="9" t="s">
        <v>59</v>
      </c>
      <c r="B14" s="6" t="s">
        <v>85</v>
      </c>
      <c r="C14" s="6" t="s">
        <v>86</v>
      </c>
      <c r="D14" s="6" t="s">
        <v>87</v>
      </c>
      <c r="E14" s="6" t="s">
        <v>88</v>
      </c>
      <c r="F14" s="12" t="s">
        <v>30</v>
      </c>
      <c r="G14" s="6" t="s">
        <v>47</v>
      </c>
      <c r="H14" s="6" t="s">
        <v>7</v>
      </c>
      <c r="I14" s="6" t="s">
        <v>89</v>
      </c>
    </row>
    <row r="15" spans="1:9" ht="24" customHeight="1">
      <c r="A15" s="9" t="s">
        <v>59</v>
      </c>
      <c r="B15" s="6" t="s">
        <v>90</v>
      </c>
      <c r="C15" s="6" t="s">
        <v>91</v>
      </c>
      <c r="D15" s="6" t="s">
        <v>92</v>
      </c>
      <c r="E15" s="6" t="s">
        <v>93</v>
      </c>
      <c r="F15" s="12" t="s">
        <v>30</v>
      </c>
      <c r="G15" s="6" t="s">
        <v>47</v>
      </c>
      <c r="H15" s="6" t="s">
        <v>7</v>
      </c>
      <c r="I15" s="6" t="s">
        <v>94</v>
      </c>
    </row>
    <row r="16" spans="1:9" ht="24" customHeight="1">
      <c r="A16" s="9" t="s">
        <v>59</v>
      </c>
      <c r="B16" s="6" t="s">
        <v>95</v>
      </c>
      <c r="C16" s="6" t="s">
        <v>96</v>
      </c>
      <c r="D16" s="6" t="s">
        <v>97</v>
      </c>
      <c r="E16" s="6" t="s">
        <v>98</v>
      </c>
      <c r="F16" s="12" t="s">
        <v>30</v>
      </c>
      <c r="G16" s="6" t="s">
        <v>47</v>
      </c>
      <c r="H16" s="6" t="s">
        <v>7</v>
      </c>
      <c r="I16" s="6" t="s">
        <v>99</v>
      </c>
    </row>
    <row r="17" spans="1:9" ht="24" customHeight="1">
      <c r="A17" s="9" t="s">
        <v>100</v>
      </c>
      <c r="B17" s="6" t="s">
        <v>101</v>
      </c>
      <c r="C17" s="6" t="s">
        <v>102</v>
      </c>
      <c r="D17" s="6" t="s">
        <v>103</v>
      </c>
      <c r="E17" s="6" t="s">
        <v>104</v>
      </c>
      <c r="F17" s="12" t="s">
        <v>38</v>
      </c>
      <c r="G17" s="6" t="s">
        <v>47</v>
      </c>
      <c r="H17" s="6" t="s">
        <v>7</v>
      </c>
      <c r="I17" s="6" t="s">
        <v>105</v>
      </c>
    </row>
    <row r="18" spans="1:9" ht="24" customHeight="1">
      <c r="A18" s="9" t="s">
        <v>106</v>
      </c>
      <c r="B18" s="6" t="s">
        <v>107</v>
      </c>
      <c r="C18" s="6" t="s">
        <v>108</v>
      </c>
      <c r="D18" s="6" t="s">
        <v>109</v>
      </c>
      <c r="E18" s="6" t="s">
        <v>110</v>
      </c>
      <c r="F18" s="12" t="s">
        <v>38</v>
      </c>
      <c r="G18" s="6" t="s">
        <v>74</v>
      </c>
      <c r="H18" s="6" t="s">
        <v>9</v>
      </c>
      <c r="I18" s="6" t="s">
        <v>111</v>
      </c>
    </row>
    <row r="19" spans="1:9" ht="24" customHeight="1">
      <c r="A19" s="9" t="s">
        <v>112</v>
      </c>
      <c r="B19" s="6" t="s">
        <v>113</v>
      </c>
      <c r="C19" s="6" t="s">
        <v>114</v>
      </c>
      <c r="D19" s="6" t="s">
        <v>115</v>
      </c>
      <c r="E19" s="6" t="s">
        <v>116</v>
      </c>
      <c r="F19" s="12" t="s">
        <v>38</v>
      </c>
      <c r="G19" s="6" t="s">
        <v>47</v>
      </c>
      <c r="H19" s="6" t="s">
        <v>7</v>
      </c>
      <c r="I19" s="6" t="s">
        <v>117</v>
      </c>
    </row>
    <row r="20" spans="1:9" ht="24" customHeight="1">
      <c r="A20" s="9" t="s">
        <v>118</v>
      </c>
      <c r="B20" s="6" t="s">
        <v>119</v>
      </c>
      <c r="C20" s="6" t="s">
        <v>120</v>
      </c>
      <c r="D20" s="6" t="s">
        <v>121</v>
      </c>
      <c r="E20" s="6" t="s">
        <v>122</v>
      </c>
      <c r="F20" s="12" t="s">
        <v>123</v>
      </c>
      <c r="G20" s="6" t="s">
        <v>124</v>
      </c>
      <c r="H20" s="6" t="s">
        <v>9</v>
      </c>
      <c r="I20" s="6" t="s">
        <v>125</v>
      </c>
    </row>
    <row r="21" spans="1:9" ht="15" customHeight="1">
      <c r="A21" s="9" t="s">
        <v>126</v>
      </c>
      <c r="B21" s="6" t="s">
        <v>127</v>
      </c>
      <c r="C21" s="6" t="s">
        <v>128</v>
      </c>
      <c r="D21" s="6" t="s">
        <v>129</v>
      </c>
      <c r="E21" s="6" t="s">
        <v>130</v>
      </c>
      <c r="F21" s="12" t="s">
        <v>38</v>
      </c>
      <c r="G21" s="6" t="s">
        <v>4</v>
      </c>
      <c r="H21" s="6" t="s">
        <v>4</v>
      </c>
      <c r="I21" s="6" t="s">
        <v>131</v>
      </c>
    </row>
    <row r="22" spans="1:9" ht="15" customHeight="1">
      <c r="A22" s="9" t="s">
        <v>132</v>
      </c>
      <c r="B22" s="6" t="s">
        <v>133</v>
      </c>
      <c r="C22" s="6" t="s">
        <v>134</v>
      </c>
      <c r="D22" s="6" t="s">
        <v>135</v>
      </c>
      <c r="E22" s="6" t="s">
        <v>136</v>
      </c>
      <c r="F22" s="12" t="s">
        <v>30</v>
      </c>
      <c r="G22" s="6" t="s">
        <v>4</v>
      </c>
      <c r="H22" s="6" t="s">
        <v>4</v>
      </c>
      <c r="I22" s="6" t="s">
        <v>137</v>
      </c>
    </row>
    <row r="23" spans="1:9" ht="15" customHeight="1">
      <c r="A23" s="9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12" t="s">
        <v>38</v>
      </c>
      <c r="G23" s="6" t="s">
        <v>4</v>
      </c>
      <c r="H23" s="6" t="s">
        <v>4</v>
      </c>
      <c r="I23" s="6" t="s">
        <v>143</v>
      </c>
    </row>
    <row r="24" spans="1:9" ht="15" customHeight="1">
      <c r="A24" s="9" t="s">
        <v>144</v>
      </c>
      <c r="B24" s="6" t="s">
        <v>145</v>
      </c>
      <c r="C24" s="6" t="s">
        <v>146</v>
      </c>
      <c r="D24" s="6" t="s">
        <v>147</v>
      </c>
      <c r="E24" s="6" t="s">
        <v>148</v>
      </c>
      <c r="F24" s="12" t="s">
        <v>38</v>
      </c>
      <c r="G24" s="6" t="s">
        <v>4</v>
      </c>
      <c r="H24" s="6" t="s">
        <v>4</v>
      </c>
      <c r="I24" s="6" t="s">
        <v>149</v>
      </c>
    </row>
    <row r="25" spans="1:9" ht="15" customHeight="1">
      <c r="A25" s="9" t="s">
        <v>150</v>
      </c>
      <c r="B25" s="6" t="s">
        <v>151</v>
      </c>
      <c r="C25" s="6" t="s">
        <v>152</v>
      </c>
      <c r="D25" s="6" t="s">
        <v>153</v>
      </c>
      <c r="E25" s="6" t="s">
        <v>154</v>
      </c>
      <c r="F25" s="12" t="s">
        <v>30</v>
      </c>
      <c r="G25" s="6" t="s">
        <v>4</v>
      </c>
      <c r="H25" s="6" t="s">
        <v>4</v>
      </c>
      <c r="I25" s="6" t="s">
        <v>155</v>
      </c>
    </row>
    <row r="26" spans="1:9" ht="15" customHeight="1">
      <c r="A26" s="10" t="s">
        <v>156</v>
      </c>
      <c r="B26" s="7" t="s">
        <v>157</v>
      </c>
      <c r="C26" s="7" t="s">
        <v>158</v>
      </c>
      <c r="D26" s="7" t="s">
        <v>159</v>
      </c>
      <c r="E26" s="7" t="s">
        <v>160</v>
      </c>
      <c r="F26" s="13" t="s">
        <v>161</v>
      </c>
      <c r="G26" s="7" t="s">
        <v>4</v>
      </c>
      <c r="H26" s="7" t="s">
        <v>4</v>
      </c>
      <c r="I26" s="7" t="s">
        <v>162</v>
      </c>
    </row>
  </sheetData>
  <dataValidations count="2">
    <dataValidation type="list" sqref="G2:G26">
      <formula1>"Chưa rà soát,Đã có - cần cải thiện,Chờ xác nhận nghiệp vụ,Đã rà soát"</formula1>
    </dataValidation>
    <dataValidation type="list" sqref="H2:H26">
      <formula1>"Chưa rà soát,Cần xử lý,Chờ xác nhận,Chưa làm,Đang làm,Xong,Tạm hoãn"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Bắt đầu</vt:lpstr>
      <vt:lpstr>Công việc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2026-10-08T09:49:38Z</dcterms:modified>
</cp:coreProperties>
</file>